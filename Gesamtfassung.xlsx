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no\Uni\Bachelor\Bachelor-Arbeit\Processing_Projekte\UmfrageErgebnisse\"/>
    </mc:Choice>
  </mc:AlternateContent>
  <xr:revisionPtr revIDLastSave="0" documentId="13_ncr:1_{3F6E339E-0BC7-4BD3-B09A-BA518954E69C}" xr6:coauthVersionLast="47" xr6:coauthVersionMax="47" xr10:uidLastSave="{00000000-0000-0000-0000-000000000000}"/>
  <bookViews>
    <workbookView xWindow="-110" yWindow="-110" windowWidth="19420" windowHeight="10300" xr2:uid="{0E3D1B39-B789-4DAF-B86F-3385AE8336B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6" i="1" l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25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D9" i="1"/>
  <c r="X3" i="1"/>
  <c r="X4" i="1"/>
  <c r="X5" i="1"/>
  <c r="X6" i="1"/>
  <c r="X7" i="1"/>
  <c r="X8" i="1"/>
  <c r="X10" i="1"/>
  <c r="X11" i="1"/>
  <c r="X12" i="1"/>
  <c r="X14" i="1"/>
  <c r="X15" i="1"/>
  <c r="X17" i="1"/>
  <c r="X19" i="1"/>
  <c r="X21" i="1"/>
  <c r="X23" i="1"/>
  <c r="X2" i="1"/>
  <c r="X9" i="1" l="1"/>
  <c r="X13" i="1"/>
</calcChain>
</file>

<file path=xl/sharedStrings.xml><?xml version="1.0" encoding="utf-8"?>
<sst xmlns="http://schemas.openxmlformats.org/spreadsheetml/2006/main" count="131" uniqueCount="113">
  <si>
    <t>Dauer bis zur Auswahl: 1 Bild</t>
  </si>
  <si>
    <t>Teilnehmer:</t>
  </si>
  <si>
    <t>Wie oft navigiert: 1 Bild</t>
  </si>
  <si>
    <t>Alter:</t>
  </si>
  <si>
    <t>Gender:</t>
  </si>
  <si>
    <t>0 = m, 1 = w</t>
  </si>
  <si>
    <t>Durchnitt</t>
  </si>
  <si>
    <t>Wie oft navigiert: 20 Bilder</t>
  </si>
  <si>
    <t>Wie oft navigiert: 4 Bilder</t>
  </si>
  <si>
    <t>Dauer bis zur Auswahl: 4 Bilder</t>
  </si>
  <si>
    <t>Dauer bis zur Auswahl: 20 Bilder</t>
  </si>
  <si>
    <t>Dauer bis zur Auswahl: 100 Bilder</t>
  </si>
  <si>
    <t>Anzahl der Zooms: 4 Bilder</t>
  </si>
  <si>
    <t>Anzahl der Zooms: 20 Bilder</t>
  </si>
  <si>
    <t>Anzahl der Zooms: 100 Bilder</t>
  </si>
  <si>
    <t>Bild 1</t>
  </si>
  <si>
    <t>katze_001</t>
  </si>
  <si>
    <t>hase_001</t>
  </si>
  <si>
    <t>pferd_003</t>
  </si>
  <si>
    <t>hund_008</t>
  </si>
  <si>
    <t>hund_014</t>
  </si>
  <si>
    <t>katze_009</t>
  </si>
  <si>
    <t>hase_008</t>
  </si>
  <si>
    <t>pferd_008</t>
  </si>
  <si>
    <t>hund_004</t>
  </si>
  <si>
    <t>hase_022</t>
  </si>
  <si>
    <t>hase_036</t>
  </si>
  <si>
    <t>pferd_004</t>
  </si>
  <si>
    <t>hund_006</t>
  </si>
  <si>
    <t>katze_006</t>
  </si>
  <si>
    <t>katze_028</t>
  </si>
  <si>
    <t>hase_005</t>
  </si>
  <si>
    <t>Bewertung 1</t>
  </si>
  <si>
    <t>Bild 4</t>
  </si>
  <si>
    <t>hund_005</t>
  </si>
  <si>
    <t>katze_002</t>
  </si>
  <si>
    <t>katze_055</t>
  </si>
  <si>
    <t>hase_003</t>
  </si>
  <si>
    <t>hund_003</t>
  </si>
  <si>
    <t>katze_065</t>
  </si>
  <si>
    <t>katze_062</t>
  </si>
  <si>
    <t>hase_018</t>
  </si>
  <si>
    <t>pferd_057</t>
  </si>
  <si>
    <t>hund_002</t>
  </si>
  <si>
    <t>hase_017</t>
  </si>
  <si>
    <t>Bewertung 4</t>
  </si>
  <si>
    <t>Bild 20</t>
  </si>
  <si>
    <t>katze_013</t>
  </si>
  <si>
    <t>hase_007</t>
  </si>
  <si>
    <t>hase_013</t>
  </si>
  <si>
    <t>pferd_027</t>
  </si>
  <si>
    <t>hund_028</t>
  </si>
  <si>
    <t>katze_018</t>
  </si>
  <si>
    <t>hase_012</t>
  </si>
  <si>
    <t>hund_039</t>
  </si>
  <si>
    <t>hund_036</t>
  </si>
  <si>
    <t>katze_080</t>
  </si>
  <si>
    <t>hase_068</t>
  </si>
  <si>
    <t>pferd_018</t>
  </si>
  <si>
    <t>pferd_023</t>
  </si>
  <si>
    <t>hund_051</t>
  </si>
  <si>
    <t>katze_008</t>
  </si>
  <si>
    <t>Bewertung 20</t>
  </si>
  <si>
    <t>Bild 100</t>
  </si>
  <si>
    <t>hase_095</t>
  </si>
  <si>
    <t>pferd_086</t>
  </si>
  <si>
    <t>hund_077</t>
  </si>
  <si>
    <t>katze_058</t>
  </si>
  <si>
    <t>katze_077</t>
  </si>
  <si>
    <t>hase_033</t>
  </si>
  <si>
    <t>hund_047</t>
  </si>
  <si>
    <t>hund_023</t>
  </si>
  <si>
    <t>katze_082</t>
  </si>
  <si>
    <t>pferd_071</t>
  </si>
  <si>
    <t>hund_034</t>
  </si>
  <si>
    <t>katze_14</t>
  </si>
  <si>
    <t>hase_096</t>
  </si>
  <si>
    <t>hase_089</t>
  </si>
  <si>
    <t>pferd_075</t>
  </si>
  <si>
    <t>hund_069</t>
  </si>
  <si>
    <t>Bewertung 100</t>
  </si>
  <si>
    <t>Abschlussbewertung</t>
  </si>
  <si>
    <t>hund_011.png</t>
  </si>
  <si>
    <t>pferd_004.png</t>
  </si>
  <si>
    <t>hase_014.png</t>
  </si>
  <si>
    <t>katze_026.jpeg</t>
  </si>
  <si>
    <t>1 mal 1</t>
  </si>
  <si>
    <t>1 mal 100</t>
  </si>
  <si>
    <t>11 mal 4</t>
  </si>
  <si>
    <t>7 mal 20</t>
  </si>
  <si>
    <t>Insgesamt Zoom</t>
  </si>
  <si>
    <t>Insgesamt navigiert</t>
  </si>
  <si>
    <t>Beide Kategorien zählen nur die angeschauten Bilder(auch gestreift)</t>
  </si>
  <si>
    <t>Fixationen pro Bild (100)</t>
  </si>
  <si>
    <t>Anzahl angeschauter Bilder (100)</t>
  </si>
  <si>
    <t>Fixationen pro Bild (20)</t>
  </si>
  <si>
    <t>Anzahl angeschauter Bilder (20)</t>
  </si>
  <si>
    <t>Fixationen pro Bild (4)</t>
  </si>
  <si>
    <t>Anzahl angeschauter Bilder (4)</t>
  </si>
  <si>
    <t>Fixationen pro Bild (1)</t>
  </si>
  <si>
    <t>Anzahl angeschauter Bilder (1)</t>
  </si>
  <si>
    <t>Anzahl Betrachtungen pro Bild (1)</t>
  </si>
  <si>
    <t>Anzahl Betrachtungen pro Bild (100)</t>
  </si>
  <si>
    <t>Anzahl Betrachtungen pro Bild (20)</t>
  </si>
  <si>
    <t>Anzahl Betrachtungen pro Bild (4)</t>
  </si>
  <si>
    <t>Durchschnittliche Verweildauer pro Bild(1)</t>
  </si>
  <si>
    <t>Fixation Dauer pro Bild 4</t>
  </si>
  <si>
    <t>Fixation Dauer pro Bild 1</t>
  </si>
  <si>
    <t>Fixation Dauer pro Bild 20</t>
  </si>
  <si>
    <t>Fixation Dauer pro Bild 100</t>
  </si>
  <si>
    <t>Durchschnittliche Verweildauer p.B. (100)</t>
  </si>
  <si>
    <t>Durchschnittliche Verweildauer p. Bild (4)</t>
  </si>
  <si>
    <t>Durchschnittliche Verweildauer p. B.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</si>
</sst>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0" fontId="1" fillId="0" borderId="0" xfId="0" applyFont="1" applyAlignment="1">
      <alignment horizontal="right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C895-6FCA-494B-A36B-71F650395BF4}">
  <dimension ref="A1:AB45"/>
  <sheetViews>
    <sheetView tabSelected="1" topLeftCell="Q1" zoomScale="83" zoomScaleNormal="57" workbookViewId="0">
      <selection activeCell="Y43" sqref="Y43"/>
    </sheetView>
  </sheetViews>
  <sheetFormatPr baseColWidth="10" defaultRowHeight="14.5" x14ac:dyDescent="0.35"/>
  <sheetData>
    <row r="1" spans="1:24" x14ac:dyDescent="0.35">
      <c r="C1" s="1" t="s">
        <v>1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2">
        <v>15</v>
      </c>
      <c r="T1" s="2">
        <v>16</v>
      </c>
      <c r="U1" s="2">
        <v>17</v>
      </c>
      <c r="V1" s="2">
        <v>18</v>
      </c>
      <c r="W1">
        <v>19</v>
      </c>
      <c r="X1" t="s">
        <v>6</v>
      </c>
    </row>
    <row r="2" spans="1:24" x14ac:dyDescent="0.35">
      <c r="A2" t="s">
        <v>0</v>
      </c>
      <c r="D2" s="1">
        <v>13390</v>
      </c>
      <c r="E2" s="1">
        <v>29408</v>
      </c>
      <c r="F2" s="1">
        <v>10607</v>
      </c>
      <c r="G2" s="1">
        <v>20459</v>
      </c>
      <c r="H2" s="1">
        <v>41948</v>
      </c>
      <c r="I2" s="1">
        <v>45320</v>
      </c>
      <c r="J2" s="1">
        <v>45858</v>
      </c>
      <c r="K2" s="1">
        <v>38041</v>
      </c>
      <c r="L2" s="1">
        <v>27072</v>
      </c>
      <c r="M2" s="1">
        <v>21579</v>
      </c>
      <c r="N2" s="1">
        <v>14934</v>
      </c>
      <c r="O2" s="1">
        <v>131325</v>
      </c>
      <c r="P2" s="1">
        <v>80943</v>
      </c>
      <c r="Q2" s="1">
        <v>14234</v>
      </c>
      <c r="R2" s="1">
        <v>23103</v>
      </c>
      <c r="S2" s="2">
        <v>28198</v>
      </c>
      <c r="T2" s="2">
        <v>62407</v>
      </c>
      <c r="U2" s="2">
        <v>14842</v>
      </c>
      <c r="V2" s="2">
        <v>94015</v>
      </c>
      <c r="W2">
        <v>48671</v>
      </c>
      <c r="X2">
        <f>(D2+E2+F2+G2+H2+I2+J2+K2+L2+M2+N2+O2+P2+Q2+R2+S2+T2+U2+V2+W2)/20</f>
        <v>40317.699999999997</v>
      </c>
    </row>
    <row r="3" spans="1:24" x14ac:dyDescent="0.35">
      <c r="A3" t="s">
        <v>9</v>
      </c>
      <c r="D3" s="1">
        <v>30052</v>
      </c>
      <c r="E3" s="1">
        <v>35228</v>
      </c>
      <c r="F3" s="1">
        <v>8350</v>
      </c>
      <c r="G3" s="1">
        <v>5154</v>
      </c>
      <c r="H3" s="1">
        <v>31665</v>
      </c>
      <c r="I3" s="1">
        <v>68490</v>
      </c>
      <c r="J3" s="1">
        <v>57734</v>
      </c>
      <c r="K3" s="1">
        <v>12753</v>
      </c>
      <c r="L3" s="1">
        <v>17618</v>
      </c>
      <c r="M3" s="1">
        <v>7156</v>
      </c>
      <c r="N3" s="1">
        <v>7572</v>
      </c>
      <c r="O3" s="1">
        <v>79882</v>
      </c>
      <c r="P3" s="1">
        <v>70882</v>
      </c>
      <c r="Q3" s="1">
        <v>61996</v>
      </c>
      <c r="R3" s="1">
        <v>33246</v>
      </c>
      <c r="S3" s="2">
        <v>15177</v>
      </c>
      <c r="T3" s="2">
        <v>8518</v>
      </c>
      <c r="U3" s="2">
        <v>119325</v>
      </c>
      <c r="V3" s="2">
        <v>82731</v>
      </c>
      <c r="W3">
        <v>9602</v>
      </c>
      <c r="X3">
        <f t="shared" ref="X3:X9" si="0">(D3+E3+F3+G3+H3+I3+J3+K3+L3+M3+N3+O3+P3+Q3+R3+S3+T3+U3+V3+W3)/20</f>
        <v>38156.550000000003</v>
      </c>
    </row>
    <row r="4" spans="1:24" x14ac:dyDescent="0.35">
      <c r="A4" t="s">
        <v>10</v>
      </c>
      <c r="D4" s="1">
        <v>31162</v>
      </c>
      <c r="E4" s="1">
        <v>55001</v>
      </c>
      <c r="F4" s="1">
        <v>30696</v>
      </c>
      <c r="G4" s="1">
        <v>18648</v>
      </c>
      <c r="H4" s="1">
        <v>33330</v>
      </c>
      <c r="I4" s="1">
        <v>52700</v>
      </c>
      <c r="J4" s="1">
        <v>66556</v>
      </c>
      <c r="K4" s="1">
        <v>68563</v>
      </c>
      <c r="L4" s="1">
        <v>14013</v>
      </c>
      <c r="M4" s="1">
        <v>12899</v>
      </c>
      <c r="N4" s="1">
        <v>8167</v>
      </c>
      <c r="O4" s="1">
        <v>80725</v>
      </c>
      <c r="P4" s="1">
        <v>34492</v>
      </c>
      <c r="Q4" s="1">
        <v>48008</v>
      </c>
      <c r="R4" s="1">
        <v>38178</v>
      </c>
      <c r="S4" s="2">
        <v>25502</v>
      </c>
      <c r="T4" s="2">
        <v>21058</v>
      </c>
      <c r="U4" s="2">
        <v>47814</v>
      </c>
      <c r="V4" s="2">
        <v>39272</v>
      </c>
      <c r="W4">
        <v>21788</v>
      </c>
      <c r="X4">
        <f t="shared" si="0"/>
        <v>37428.6</v>
      </c>
    </row>
    <row r="5" spans="1:24" x14ac:dyDescent="0.35">
      <c r="A5" t="s">
        <v>11</v>
      </c>
      <c r="D5" s="1">
        <v>75564</v>
      </c>
      <c r="E5" s="1">
        <v>63826</v>
      </c>
      <c r="F5" s="1">
        <v>16838</v>
      </c>
      <c r="G5" s="1">
        <v>8813</v>
      </c>
      <c r="H5" s="1">
        <v>29271</v>
      </c>
      <c r="I5" s="1">
        <v>64901</v>
      </c>
      <c r="J5" s="1">
        <v>40273</v>
      </c>
      <c r="K5" s="1">
        <v>38071</v>
      </c>
      <c r="L5" s="1">
        <v>36412</v>
      </c>
      <c r="M5" s="1">
        <v>23512</v>
      </c>
      <c r="N5" s="1">
        <v>15519</v>
      </c>
      <c r="O5" s="1">
        <v>80371</v>
      </c>
      <c r="P5" s="1">
        <v>56881</v>
      </c>
      <c r="Q5" s="1">
        <v>23239</v>
      </c>
      <c r="R5" s="1">
        <v>43568</v>
      </c>
      <c r="S5" s="2">
        <v>79359</v>
      </c>
      <c r="T5" s="2">
        <v>20616</v>
      </c>
      <c r="U5" s="2">
        <v>16182</v>
      </c>
      <c r="V5" s="2">
        <v>55549</v>
      </c>
      <c r="W5">
        <v>70879</v>
      </c>
      <c r="X5">
        <f t="shared" si="0"/>
        <v>42982.2</v>
      </c>
    </row>
    <row r="6" spans="1:24" x14ac:dyDescent="0.35">
      <c r="A6" t="s">
        <v>12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2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3</v>
      </c>
      <c r="Q6" s="1">
        <v>3</v>
      </c>
      <c r="R6" s="1">
        <v>1</v>
      </c>
      <c r="S6" s="2">
        <v>1</v>
      </c>
      <c r="T6" s="2">
        <v>1</v>
      </c>
      <c r="U6" s="2">
        <v>2</v>
      </c>
      <c r="V6" s="2">
        <v>1</v>
      </c>
      <c r="W6">
        <v>1</v>
      </c>
      <c r="X6">
        <f t="shared" si="0"/>
        <v>1.3</v>
      </c>
    </row>
    <row r="7" spans="1:24" x14ac:dyDescent="0.35">
      <c r="A7" t="s">
        <v>13</v>
      </c>
      <c r="D7" s="1">
        <v>1</v>
      </c>
      <c r="E7" s="1">
        <v>2</v>
      </c>
      <c r="F7" s="1">
        <v>1</v>
      </c>
      <c r="G7" s="1">
        <v>1</v>
      </c>
      <c r="H7" s="1">
        <v>2</v>
      </c>
      <c r="I7" s="1">
        <v>1</v>
      </c>
      <c r="J7" s="1">
        <v>1</v>
      </c>
      <c r="K7" s="1">
        <v>4</v>
      </c>
      <c r="L7" s="1">
        <v>1</v>
      </c>
      <c r="M7" s="1">
        <v>1</v>
      </c>
      <c r="N7" s="1">
        <v>1</v>
      </c>
      <c r="O7" s="1">
        <v>1</v>
      </c>
      <c r="P7" s="1">
        <v>2</v>
      </c>
      <c r="Q7" s="1">
        <v>1</v>
      </c>
      <c r="R7" s="1">
        <v>2</v>
      </c>
      <c r="S7" s="2">
        <v>2</v>
      </c>
      <c r="T7" s="2">
        <v>1</v>
      </c>
      <c r="U7" s="2">
        <v>4</v>
      </c>
      <c r="V7" s="2">
        <v>1</v>
      </c>
      <c r="W7">
        <v>2</v>
      </c>
      <c r="X7">
        <f t="shared" si="0"/>
        <v>1.6</v>
      </c>
    </row>
    <row r="8" spans="1:24" x14ac:dyDescent="0.35">
      <c r="A8" t="s">
        <v>14</v>
      </c>
      <c r="D8" s="1">
        <v>5</v>
      </c>
      <c r="E8" s="1">
        <v>4</v>
      </c>
      <c r="F8" s="1">
        <v>1</v>
      </c>
      <c r="G8" s="1">
        <v>1</v>
      </c>
      <c r="H8" s="1">
        <v>1</v>
      </c>
      <c r="I8" s="1">
        <v>4</v>
      </c>
      <c r="J8" s="1">
        <v>3</v>
      </c>
      <c r="K8" s="1">
        <v>3</v>
      </c>
      <c r="L8" s="1">
        <v>2</v>
      </c>
      <c r="M8" s="1">
        <v>1</v>
      </c>
      <c r="N8" s="1">
        <v>1</v>
      </c>
      <c r="O8" s="1">
        <v>10</v>
      </c>
      <c r="P8" s="1">
        <v>4</v>
      </c>
      <c r="Q8" s="1">
        <v>1</v>
      </c>
      <c r="R8" s="1">
        <v>1</v>
      </c>
      <c r="S8" s="2">
        <v>11</v>
      </c>
      <c r="T8" s="2">
        <v>1</v>
      </c>
      <c r="U8" s="2">
        <v>1</v>
      </c>
      <c r="V8" s="2">
        <v>3</v>
      </c>
      <c r="W8">
        <v>6</v>
      </c>
      <c r="X8">
        <f t="shared" si="0"/>
        <v>3.2</v>
      </c>
    </row>
    <row r="9" spans="1:24" x14ac:dyDescent="0.35">
      <c r="A9" t="s">
        <v>90</v>
      </c>
      <c r="D9">
        <f>D6+D7+D8</f>
        <v>7</v>
      </c>
      <c r="E9">
        <f t="shared" ref="E9:W9" si="1">E6+E7+E8</f>
        <v>7</v>
      </c>
      <c r="F9">
        <f t="shared" si="1"/>
        <v>3</v>
      </c>
      <c r="G9">
        <f t="shared" si="1"/>
        <v>3</v>
      </c>
      <c r="H9">
        <f t="shared" si="1"/>
        <v>4</v>
      </c>
      <c r="I9">
        <f t="shared" si="1"/>
        <v>7</v>
      </c>
      <c r="J9">
        <f t="shared" si="1"/>
        <v>5</v>
      </c>
      <c r="K9">
        <f t="shared" si="1"/>
        <v>8</v>
      </c>
      <c r="L9">
        <f t="shared" si="1"/>
        <v>4</v>
      </c>
      <c r="M9">
        <f t="shared" si="1"/>
        <v>3</v>
      </c>
      <c r="N9">
        <f t="shared" si="1"/>
        <v>3</v>
      </c>
      <c r="O9">
        <f t="shared" si="1"/>
        <v>12</v>
      </c>
      <c r="P9">
        <f t="shared" si="1"/>
        <v>9</v>
      </c>
      <c r="Q9">
        <f t="shared" si="1"/>
        <v>5</v>
      </c>
      <c r="R9">
        <f t="shared" si="1"/>
        <v>4</v>
      </c>
      <c r="S9">
        <f t="shared" si="1"/>
        <v>14</v>
      </c>
      <c r="T9">
        <f t="shared" si="1"/>
        <v>3</v>
      </c>
      <c r="U9">
        <f t="shared" si="1"/>
        <v>7</v>
      </c>
      <c r="V9">
        <f t="shared" si="1"/>
        <v>5</v>
      </c>
      <c r="W9">
        <f t="shared" si="1"/>
        <v>9</v>
      </c>
      <c r="X9">
        <f t="shared" si="0"/>
        <v>6.1</v>
      </c>
    </row>
    <row r="10" spans="1:24" x14ac:dyDescent="0.35">
      <c r="A10" t="s">
        <v>2</v>
      </c>
      <c r="D10" s="1">
        <v>0</v>
      </c>
      <c r="E10" s="1">
        <v>14</v>
      </c>
      <c r="F10" s="1">
        <v>2</v>
      </c>
      <c r="G10" s="1">
        <v>9</v>
      </c>
      <c r="H10" s="1">
        <v>13</v>
      </c>
      <c r="I10" s="1">
        <v>58</v>
      </c>
      <c r="J10" s="1">
        <v>23</v>
      </c>
      <c r="K10" s="1">
        <v>15</v>
      </c>
      <c r="L10" s="1">
        <v>4</v>
      </c>
      <c r="M10" s="1">
        <v>3</v>
      </c>
      <c r="N10" s="1">
        <v>8</v>
      </c>
      <c r="O10" s="1">
        <v>187</v>
      </c>
      <c r="P10" s="1">
        <v>35</v>
      </c>
      <c r="Q10" s="1">
        <v>3</v>
      </c>
      <c r="R10" s="1">
        <v>5</v>
      </c>
      <c r="S10" s="2">
        <v>5</v>
      </c>
      <c r="T10" s="2">
        <v>32</v>
      </c>
      <c r="U10" s="2">
        <v>4</v>
      </c>
      <c r="V10" s="2">
        <v>63</v>
      </c>
      <c r="W10">
        <v>10</v>
      </c>
      <c r="X10">
        <f t="shared" ref="X10:X15" si="2">(D10+E10+F10+G10+H10+I10+J10+K10+L10+M10+N10+O10+P10+Q10+R10+S10+T10+U10+V10+W10)/20</f>
        <v>24.65</v>
      </c>
    </row>
    <row r="11" spans="1:24" x14ac:dyDescent="0.35">
      <c r="A11" t="s">
        <v>8</v>
      </c>
      <c r="D11" s="1">
        <v>1</v>
      </c>
      <c r="E11" s="1">
        <v>10</v>
      </c>
      <c r="F11" s="1">
        <v>0</v>
      </c>
      <c r="G11" s="1">
        <v>0</v>
      </c>
      <c r="H11" s="1">
        <v>7</v>
      </c>
      <c r="I11" s="1">
        <v>9</v>
      </c>
      <c r="J11" s="1">
        <v>17</v>
      </c>
      <c r="K11" s="1">
        <v>0</v>
      </c>
      <c r="L11" s="1">
        <v>0</v>
      </c>
      <c r="M11" s="1">
        <v>0</v>
      </c>
      <c r="N11" s="1">
        <v>0</v>
      </c>
      <c r="O11" s="1">
        <v>35</v>
      </c>
      <c r="P11" s="1">
        <v>15</v>
      </c>
      <c r="Q11" s="1">
        <v>10</v>
      </c>
      <c r="R11" s="1">
        <v>14</v>
      </c>
      <c r="S11" s="2">
        <v>0</v>
      </c>
      <c r="T11" s="2">
        <v>0</v>
      </c>
      <c r="U11" s="2">
        <v>50</v>
      </c>
      <c r="V11" s="2">
        <v>44</v>
      </c>
      <c r="W11" s="2">
        <v>0</v>
      </c>
      <c r="X11">
        <f t="shared" si="2"/>
        <v>10.6</v>
      </c>
    </row>
    <row r="12" spans="1:24" x14ac:dyDescent="0.35">
      <c r="A12" t="s">
        <v>7</v>
      </c>
      <c r="D12" s="1">
        <v>0</v>
      </c>
      <c r="E12" s="1">
        <v>4</v>
      </c>
      <c r="F12" s="1">
        <v>0</v>
      </c>
      <c r="G12" s="1">
        <v>0</v>
      </c>
      <c r="H12" s="1">
        <v>2</v>
      </c>
      <c r="I12" s="1">
        <v>9</v>
      </c>
      <c r="J12" s="1">
        <v>7</v>
      </c>
      <c r="K12" s="1">
        <v>0</v>
      </c>
      <c r="L12" s="1">
        <v>0</v>
      </c>
      <c r="M12" s="1">
        <v>0</v>
      </c>
      <c r="N12" s="1">
        <v>0</v>
      </c>
      <c r="O12" s="1">
        <v>9</v>
      </c>
      <c r="P12" s="1">
        <v>1</v>
      </c>
      <c r="Q12" s="1">
        <v>3</v>
      </c>
      <c r="R12" s="1">
        <v>3</v>
      </c>
      <c r="S12" s="2">
        <v>0</v>
      </c>
      <c r="T12" s="2">
        <v>1</v>
      </c>
      <c r="U12" s="2">
        <v>2</v>
      </c>
      <c r="V12" s="2">
        <v>0</v>
      </c>
      <c r="W12" s="2">
        <v>0</v>
      </c>
      <c r="X12">
        <f t="shared" si="2"/>
        <v>2.0499999999999998</v>
      </c>
    </row>
    <row r="13" spans="1:24" x14ac:dyDescent="0.35">
      <c r="A13" t="s">
        <v>91</v>
      </c>
      <c r="D13">
        <f>D10+D11+D12</f>
        <v>1</v>
      </c>
      <c r="E13">
        <f t="shared" ref="E13:W13" si="3">E10+E11+E12</f>
        <v>28</v>
      </c>
      <c r="F13">
        <f t="shared" si="3"/>
        <v>2</v>
      </c>
      <c r="G13">
        <f t="shared" si="3"/>
        <v>9</v>
      </c>
      <c r="H13">
        <f t="shared" si="3"/>
        <v>22</v>
      </c>
      <c r="I13">
        <f t="shared" si="3"/>
        <v>76</v>
      </c>
      <c r="J13">
        <f t="shared" si="3"/>
        <v>47</v>
      </c>
      <c r="K13">
        <f t="shared" si="3"/>
        <v>15</v>
      </c>
      <c r="L13">
        <f t="shared" si="3"/>
        <v>4</v>
      </c>
      <c r="M13">
        <f t="shared" si="3"/>
        <v>3</v>
      </c>
      <c r="N13">
        <f t="shared" si="3"/>
        <v>8</v>
      </c>
      <c r="O13">
        <f t="shared" si="3"/>
        <v>231</v>
      </c>
      <c r="P13">
        <f t="shared" si="3"/>
        <v>51</v>
      </c>
      <c r="Q13">
        <f t="shared" si="3"/>
        <v>16</v>
      </c>
      <c r="R13">
        <f t="shared" si="3"/>
        <v>22</v>
      </c>
      <c r="S13">
        <f t="shared" si="3"/>
        <v>5</v>
      </c>
      <c r="T13">
        <f t="shared" si="3"/>
        <v>33</v>
      </c>
      <c r="U13">
        <f t="shared" si="3"/>
        <v>56</v>
      </c>
      <c r="V13">
        <f t="shared" si="3"/>
        <v>107</v>
      </c>
      <c r="W13">
        <f t="shared" si="3"/>
        <v>10</v>
      </c>
      <c r="X13">
        <f t="shared" si="2"/>
        <v>37.299999999999997</v>
      </c>
    </row>
    <row r="14" spans="1:24" x14ac:dyDescent="0.35">
      <c r="A14" t="s">
        <v>4</v>
      </c>
      <c r="B14" t="s">
        <v>5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>
        <v>1</v>
      </c>
      <c r="T14" s="2">
        <v>1</v>
      </c>
      <c r="U14" s="2">
        <v>0</v>
      </c>
      <c r="V14" s="2">
        <v>0</v>
      </c>
      <c r="W14" s="2">
        <v>0</v>
      </c>
      <c r="X14">
        <f t="shared" si="2"/>
        <v>0.25</v>
      </c>
    </row>
    <row r="15" spans="1:24" x14ac:dyDescent="0.35">
      <c r="A15" t="s">
        <v>3</v>
      </c>
      <c r="D15" s="1">
        <v>46</v>
      </c>
      <c r="E15" s="1">
        <v>49</v>
      </c>
      <c r="F15" s="1">
        <v>40</v>
      </c>
      <c r="G15" s="1">
        <v>47</v>
      </c>
      <c r="H15" s="1">
        <v>46</v>
      </c>
      <c r="I15" s="1">
        <v>21</v>
      </c>
      <c r="J15" s="1">
        <v>22</v>
      </c>
      <c r="K15" s="1">
        <v>20</v>
      </c>
      <c r="L15" s="1">
        <v>22</v>
      </c>
      <c r="M15" s="1">
        <v>21</v>
      </c>
      <c r="N15" s="1">
        <v>20</v>
      </c>
      <c r="O15" s="1">
        <v>21</v>
      </c>
      <c r="P15" s="1">
        <v>21</v>
      </c>
      <c r="Q15" s="1">
        <v>20</v>
      </c>
      <c r="R15" s="1">
        <v>16</v>
      </c>
      <c r="S15" s="2">
        <v>52</v>
      </c>
      <c r="T15" s="2">
        <v>23</v>
      </c>
      <c r="U15" s="2">
        <v>23</v>
      </c>
      <c r="V15" s="2">
        <v>52</v>
      </c>
      <c r="W15" s="2">
        <v>21</v>
      </c>
      <c r="X15">
        <f t="shared" si="2"/>
        <v>30.15</v>
      </c>
    </row>
    <row r="16" spans="1:24" x14ac:dyDescent="0.35">
      <c r="A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18</v>
      </c>
      <c r="M16" t="s">
        <v>24</v>
      </c>
      <c r="N16" t="s">
        <v>21</v>
      </c>
      <c r="O16" t="s">
        <v>25</v>
      </c>
      <c r="P16" t="s">
        <v>26</v>
      </c>
      <c r="Q16" t="s">
        <v>27</v>
      </c>
      <c r="R16" t="s">
        <v>28</v>
      </c>
      <c r="S16" t="s">
        <v>29</v>
      </c>
      <c r="T16" t="s">
        <v>30</v>
      </c>
      <c r="U16" t="s">
        <v>31</v>
      </c>
      <c r="V16" t="s">
        <v>27</v>
      </c>
      <c r="W16" t="s">
        <v>82</v>
      </c>
    </row>
    <row r="17" spans="1:28" x14ac:dyDescent="0.35">
      <c r="A17" t="s">
        <v>32</v>
      </c>
      <c r="D17">
        <v>7</v>
      </c>
      <c r="E17">
        <v>7</v>
      </c>
      <c r="F17">
        <v>7</v>
      </c>
      <c r="G17">
        <v>7</v>
      </c>
      <c r="H17">
        <v>5</v>
      </c>
      <c r="I17">
        <v>6</v>
      </c>
      <c r="J17">
        <v>5</v>
      </c>
      <c r="K17">
        <v>7</v>
      </c>
      <c r="L17">
        <v>5</v>
      </c>
      <c r="M17">
        <v>6</v>
      </c>
      <c r="N17">
        <v>7</v>
      </c>
      <c r="O17">
        <v>7</v>
      </c>
      <c r="P17">
        <v>4</v>
      </c>
      <c r="Q17">
        <v>5</v>
      </c>
      <c r="R17">
        <v>6</v>
      </c>
      <c r="S17">
        <v>6</v>
      </c>
      <c r="T17">
        <v>6</v>
      </c>
      <c r="U17">
        <v>4</v>
      </c>
      <c r="V17">
        <v>5</v>
      </c>
      <c r="W17">
        <v>4</v>
      </c>
      <c r="X17">
        <f>(D17+E17+F17+G17+H17+I17+J17+K17+L17+M17+N17+O17+P17+Q17+R17+S17+T17+U17+V17+W17)/20</f>
        <v>5.8</v>
      </c>
    </row>
    <row r="18" spans="1:28" x14ac:dyDescent="0.35">
      <c r="A18" t="s">
        <v>33</v>
      </c>
      <c r="D18" t="s">
        <v>34</v>
      </c>
      <c r="E18" t="s">
        <v>35</v>
      </c>
      <c r="F18" t="s">
        <v>17</v>
      </c>
      <c r="G18" t="s">
        <v>27</v>
      </c>
      <c r="H18" t="s">
        <v>23</v>
      </c>
      <c r="I18" t="s">
        <v>19</v>
      </c>
      <c r="J18" t="s">
        <v>36</v>
      </c>
      <c r="K18" t="s">
        <v>17</v>
      </c>
      <c r="L18" t="s">
        <v>37</v>
      </c>
      <c r="M18" t="s">
        <v>18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43</v>
      </c>
      <c r="U18" t="s">
        <v>21</v>
      </c>
      <c r="V18" t="s">
        <v>44</v>
      </c>
      <c r="W18" t="s">
        <v>83</v>
      </c>
    </row>
    <row r="19" spans="1:28" x14ac:dyDescent="0.35">
      <c r="A19" t="s">
        <v>45</v>
      </c>
      <c r="D19">
        <v>7</v>
      </c>
      <c r="E19">
        <v>6</v>
      </c>
      <c r="F19">
        <v>7</v>
      </c>
      <c r="G19">
        <v>7</v>
      </c>
      <c r="H19">
        <v>7</v>
      </c>
      <c r="I19">
        <v>6</v>
      </c>
      <c r="J19">
        <v>6</v>
      </c>
      <c r="K19">
        <v>6</v>
      </c>
      <c r="L19">
        <v>6</v>
      </c>
      <c r="M19">
        <v>5</v>
      </c>
      <c r="N19">
        <v>7</v>
      </c>
      <c r="O19">
        <v>4</v>
      </c>
      <c r="P19">
        <v>5</v>
      </c>
      <c r="Q19">
        <v>5</v>
      </c>
      <c r="R19">
        <v>4</v>
      </c>
      <c r="S19">
        <v>7</v>
      </c>
      <c r="T19">
        <v>7</v>
      </c>
      <c r="U19">
        <v>6</v>
      </c>
      <c r="V19">
        <v>5</v>
      </c>
      <c r="W19">
        <v>6</v>
      </c>
      <c r="X19">
        <f>(D19+E19+F19+G19+H19+I19+J19+K19+L19+M19+N19+O19+P19+Q19+R19+S19+T19+U19+V19+W19)/20</f>
        <v>5.95</v>
      </c>
    </row>
    <row r="20" spans="1:28" x14ac:dyDescent="0.35">
      <c r="A20" t="s">
        <v>46</v>
      </c>
      <c r="D20" t="s">
        <v>18</v>
      </c>
      <c r="E20" t="s">
        <v>43</v>
      </c>
      <c r="F20" t="s">
        <v>47</v>
      </c>
      <c r="G20" t="s">
        <v>48</v>
      </c>
      <c r="H20" t="s">
        <v>49</v>
      </c>
      <c r="I20" t="s">
        <v>50</v>
      </c>
      <c r="J20" t="s">
        <v>51</v>
      </c>
      <c r="K20" t="s">
        <v>52</v>
      </c>
      <c r="L20" t="s">
        <v>35</v>
      </c>
      <c r="M20" t="s">
        <v>53</v>
      </c>
      <c r="N20" t="s">
        <v>18</v>
      </c>
      <c r="O20" t="s">
        <v>54</v>
      </c>
      <c r="P20" t="s">
        <v>55</v>
      </c>
      <c r="Q20" t="s">
        <v>56</v>
      </c>
      <c r="R20" t="s">
        <v>57</v>
      </c>
      <c r="S20" t="s">
        <v>58</v>
      </c>
      <c r="T20" t="s">
        <v>59</v>
      </c>
      <c r="U20" t="s">
        <v>60</v>
      </c>
      <c r="V20" t="s">
        <v>61</v>
      </c>
      <c r="W20" t="s">
        <v>84</v>
      </c>
    </row>
    <row r="21" spans="1:28" x14ac:dyDescent="0.35">
      <c r="A21" t="s">
        <v>62</v>
      </c>
      <c r="D21">
        <v>5</v>
      </c>
      <c r="E21">
        <v>6</v>
      </c>
      <c r="F21">
        <v>7</v>
      </c>
      <c r="G21">
        <v>7</v>
      </c>
      <c r="H21">
        <v>6</v>
      </c>
      <c r="I21">
        <v>7</v>
      </c>
      <c r="J21">
        <v>6</v>
      </c>
      <c r="K21">
        <v>4</v>
      </c>
      <c r="L21">
        <v>5</v>
      </c>
      <c r="M21">
        <v>6</v>
      </c>
      <c r="N21">
        <v>7</v>
      </c>
      <c r="O21">
        <v>3</v>
      </c>
      <c r="P21">
        <v>6</v>
      </c>
      <c r="Q21">
        <v>6</v>
      </c>
      <c r="R21">
        <v>5</v>
      </c>
      <c r="S21">
        <v>6</v>
      </c>
      <c r="T21">
        <v>6</v>
      </c>
      <c r="U21">
        <v>6</v>
      </c>
      <c r="V21">
        <v>6</v>
      </c>
      <c r="W21">
        <v>7</v>
      </c>
      <c r="X21">
        <f>(D21+E21+F21+G21+H21+I21+J21+K21+L21+M21+N21+O21+P21+Q21+R21+S21+T21+U21+V21+W21)/20</f>
        <v>5.85</v>
      </c>
    </row>
    <row r="22" spans="1:28" x14ac:dyDescent="0.35">
      <c r="A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69</v>
      </c>
      <c r="J22" t="s">
        <v>27</v>
      </c>
      <c r="K22" t="s">
        <v>70</v>
      </c>
      <c r="L22" t="s">
        <v>71</v>
      </c>
      <c r="M22" t="s">
        <v>72</v>
      </c>
      <c r="N22" t="s">
        <v>64</v>
      </c>
      <c r="O22" t="s">
        <v>27</v>
      </c>
      <c r="P22" t="s">
        <v>73</v>
      </c>
      <c r="Q22" t="s">
        <v>74</v>
      </c>
      <c r="R22" t="s">
        <v>75</v>
      </c>
      <c r="S22" t="s">
        <v>76</v>
      </c>
      <c r="T22" t="s">
        <v>77</v>
      </c>
      <c r="U22" t="s">
        <v>78</v>
      </c>
      <c r="V22" t="s">
        <v>79</v>
      </c>
      <c r="W22" t="s">
        <v>85</v>
      </c>
    </row>
    <row r="23" spans="1:28" x14ac:dyDescent="0.35">
      <c r="A23" t="s">
        <v>80</v>
      </c>
      <c r="D23">
        <v>6</v>
      </c>
      <c r="E23">
        <v>6</v>
      </c>
      <c r="F23">
        <v>6</v>
      </c>
      <c r="G23">
        <v>7</v>
      </c>
      <c r="H23">
        <v>6</v>
      </c>
      <c r="I23">
        <v>7</v>
      </c>
      <c r="J23">
        <v>7</v>
      </c>
      <c r="K23">
        <v>6</v>
      </c>
      <c r="L23">
        <v>4</v>
      </c>
      <c r="M23">
        <v>7</v>
      </c>
      <c r="N23">
        <v>6</v>
      </c>
      <c r="O23">
        <v>7</v>
      </c>
      <c r="P23">
        <v>4</v>
      </c>
      <c r="Q23">
        <v>6</v>
      </c>
      <c r="R23">
        <v>6</v>
      </c>
      <c r="S23">
        <v>5</v>
      </c>
      <c r="T23">
        <v>7</v>
      </c>
      <c r="U23">
        <v>5</v>
      </c>
      <c r="V23">
        <v>6</v>
      </c>
      <c r="W23">
        <v>6</v>
      </c>
      <c r="X23">
        <f>(D23+E23+F23+G23+H23+I23+J23+K23+L23+M23+N23+O23+P23+Q23+R23+S23+T23+U23+V23+W23)/20</f>
        <v>6</v>
      </c>
    </row>
    <row r="24" spans="1:28" x14ac:dyDescent="0.35">
      <c r="A24" t="s">
        <v>81</v>
      </c>
      <c r="D24">
        <v>4</v>
      </c>
      <c r="E24">
        <v>20</v>
      </c>
      <c r="F24">
        <v>4</v>
      </c>
      <c r="G24">
        <v>4</v>
      </c>
      <c r="H24">
        <v>4</v>
      </c>
      <c r="I24">
        <v>20</v>
      </c>
      <c r="J24">
        <v>20</v>
      </c>
      <c r="K24">
        <v>4</v>
      </c>
      <c r="L24">
        <v>4</v>
      </c>
      <c r="M24">
        <v>4</v>
      </c>
      <c r="N24">
        <v>4</v>
      </c>
      <c r="O24">
        <v>100</v>
      </c>
      <c r="P24">
        <v>4</v>
      </c>
      <c r="Q24">
        <v>20</v>
      </c>
      <c r="R24">
        <v>20</v>
      </c>
      <c r="S24">
        <v>4</v>
      </c>
      <c r="T24">
        <v>20</v>
      </c>
      <c r="U24">
        <v>4</v>
      </c>
      <c r="V24">
        <v>1</v>
      </c>
      <c r="W24">
        <v>20</v>
      </c>
      <c r="Y24" t="s">
        <v>86</v>
      </c>
      <c r="Z24" t="s">
        <v>88</v>
      </c>
      <c r="AA24" t="s">
        <v>89</v>
      </c>
      <c r="AB24" t="s">
        <v>87</v>
      </c>
    </row>
    <row r="25" spans="1:28" x14ac:dyDescent="0.35">
      <c r="A25" t="s">
        <v>100</v>
      </c>
      <c r="D25">
        <v>1</v>
      </c>
      <c r="E25">
        <v>8</v>
      </c>
      <c r="F25">
        <v>3</v>
      </c>
      <c r="G25">
        <v>9</v>
      </c>
      <c r="H25">
        <v>14</v>
      </c>
      <c r="I25">
        <v>30</v>
      </c>
      <c r="J25">
        <v>16</v>
      </c>
      <c r="K25">
        <v>11</v>
      </c>
      <c r="L25">
        <v>3</v>
      </c>
      <c r="M25">
        <v>4</v>
      </c>
      <c r="N25">
        <v>9</v>
      </c>
      <c r="O25">
        <v>100</v>
      </c>
      <c r="P25">
        <v>36</v>
      </c>
      <c r="Q25">
        <v>4</v>
      </c>
      <c r="R25">
        <v>6</v>
      </c>
      <c r="S25">
        <v>6</v>
      </c>
      <c r="T25">
        <v>30</v>
      </c>
      <c r="U25">
        <v>5</v>
      </c>
      <c r="V25">
        <v>34</v>
      </c>
      <c r="W25">
        <v>11</v>
      </c>
      <c r="X25">
        <f>SUM(D25:W25)/20</f>
        <v>17</v>
      </c>
    </row>
    <row r="26" spans="1:28" x14ac:dyDescent="0.35">
      <c r="A26" t="s">
        <v>98</v>
      </c>
      <c r="D26">
        <v>8</v>
      </c>
      <c r="E26">
        <v>24</v>
      </c>
      <c r="F26">
        <v>4</v>
      </c>
      <c r="G26">
        <v>4</v>
      </c>
      <c r="H26">
        <v>20</v>
      </c>
      <c r="I26">
        <v>20</v>
      </c>
      <c r="J26">
        <v>64</v>
      </c>
      <c r="K26">
        <v>4</v>
      </c>
      <c r="L26">
        <v>4</v>
      </c>
      <c r="M26">
        <v>4</v>
      </c>
      <c r="N26">
        <v>4</v>
      </c>
      <c r="O26">
        <v>92</v>
      </c>
      <c r="P26">
        <v>64</v>
      </c>
      <c r="Q26">
        <v>31</v>
      </c>
      <c r="R26">
        <v>54</v>
      </c>
      <c r="S26">
        <v>4</v>
      </c>
      <c r="T26">
        <v>4</v>
      </c>
      <c r="U26">
        <v>99</v>
      </c>
      <c r="V26">
        <v>95</v>
      </c>
      <c r="W26">
        <v>4</v>
      </c>
      <c r="X26">
        <f t="shared" ref="X26:X44" si="4">SUM(D26:W26)/20</f>
        <v>30.35</v>
      </c>
    </row>
    <row r="27" spans="1:28" x14ac:dyDescent="0.35">
      <c r="A27" t="s">
        <v>96</v>
      </c>
      <c r="D27">
        <v>19</v>
      </c>
      <c r="E27">
        <v>57</v>
      </c>
      <c r="F27">
        <v>18</v>
      </c>
      <c r="G27">
        <v>20</v>
      </c>
      <c r="H27">
        <v>34</v>
      </c>
      <c r="I27">
        <v>73</v>
      </c>
      <c r="J27">
        <v>89</v>
      </c>
      <c r="K27">
        <v>20</v>
      </c>
      <c r="L27">
        <v>18</v>
      </c>
      <c r="M27">
        <v>17</v>
      </c>
      <c r="N27">
        <v>8</v>
      </c>
      <c r="O27">
        <v>84</v>
      </c>
      <c r="P27">
        <v>31</v>
      </c>
      <c r="Q27">
        <v>74</v>
      </c>
      <c r="R27">
        <v>56</v>
      </c>
      <c r="S27">
        <v>18</v>
      </c>
      <c r="T27">
        <v>32</v>
      </c>
      <c r="U27">
        <v>52</v>
      </c>
      <c r="V27">
        <v>16</v>
      </c>
      <c r="W27">
        <v>20</v>
      </c>
      <c r="X27">
        <f t="shared" si="4"/>
        <v>37.799999999999997</v>
      </c>
    </row>
    <row r="28" spans="1:28" x14ac:dyDescent="0.35">
      <c r="A28" t="s">
        <v>94</v>
      </c>
      <c r="D28">
        <v>88</v>
      </c>
      <c r="E28">
        <v>87</v>
      </c>
      <c r="F28">
        <v>42</v>
      </c>
      <c r="G28">
        <v>15</v>
      </c>
      <c r="H28">
        <v>32</v>
      </c>
      <c r="I28">
        <v>96</v>
      </c>
      <c r="J28">
        <v>71</v>
      </c>
      <c r="K28">
        <v>61</v>
      </c>
      <c r="L28">
        <v>74</v>
      </c>
      <c r="M28">
        <v>62</v>
      </c>
      <c r="N28">
        <v>54</v>
      </c>
      <c r="O28">
        <v>84</v>
      </c>
      <c r="P28">
        <v>89</v>
      </c>
      <c r="Q28">
        <v>63</v>
      </c>
      <c r="R28">
        <v>83</v>
      </c>
      <c r="S28">
        <v>65</v>
      </c>
      <c r="T28">
        <v>53</v>
      </c>
      <c r="U28">
        <v>41</v>
      </c>
      <c r="V28">
        <v>77</v>
      </c>
      <c r="W28">
        <v>74</v>
      </c>
      <c r="X28">
        <f t="shared" si="4"/>
        <v>65.55</v>
      </c>
    </row>
    <row r="29" spans="1:28" x14ac:dyDescent="0.35">
      <c r="A29" t="s">
        <v>101</v>
      </c>
      <c r="D29">
        <v>13</v>
      </c>
      <c r="E29">
        <v>2.875</v>
      </c>
      <c r="F29">
        <v>2.6666666666666665</v>
      </c>
      <c r="G29">
        <v>1.7777777777777777</v>
      </c>
      <c r="H29">
        <v>2.8571428571428572</v>
      </c>
      <c r="I29">
        <v>2.2333333333333334</v>
      </c>
      <c r="J29">
        <v>2.125</v>
      </c>
      <c r="K29">
        <v>2.5454545454545454</v>
      </c>
      <c r="L29">
        <v>6.666666666666667</v>
      </c>
      <c r="M29">
        <v>5.25</v>
      </c>
      <c r="N29">
        <v>1.8888888888888888</v>
      </c>
      <c r="O29">
        <v>2.11</v>
      </c>
      <c r="P29">
        <v>1.6666666666666667</v>
      </c>
      <c r="Q29">
        <v>2.75</v>
      </c>
      <c r="R29">
        <v>4.333333333333333</v>
      </c>
      <c r="S29">
        <v>3.8333333333333335</v>
      </c>
      <c r="T29">
        <v>1.5333333333333334</v>
      </c>
      <c r="U29">
        <v>2.8</v>
      </c>
      <c r="V29">
        <v>2.8823529411764706</v>
      </c>
      <c r="W29">
        <v>3.1818181818181817</v>
      </c>
      <c r="X29">
        <f t="shared" si="4"/>
        <v>3.4488384262796026</v>
      </c>
    </row>
    <row r="30" spans="1:28" x14ac:dyDescent="0.35">
      <c r="A30" t="s">
        <v>104</v>
      </c>
      <c r="D30">
        <v>6.375</v>
      </c>
      <c r="E30">
        <v>3.0416666666666665</v>
      </c>
      <c r="F30">
        <v>6.75</v>
      </c>
      <c r="G30">
        <v>3.25</v>
      </c>
      <c r="H30">
        <v>4.05</v>
      </c>
      <c r="I30">
        <v>8.6</v>
      </c>
      <c r="J30">
        <v>2.015625</v>
      </c>
      <c r="K30">
        <v>6.25</v>
      </c>
      <c r="L30">
        <v>9</v>
      </c>
      <c r="M30">
        <v>2.25</v>
      </c>
      <c r="N30">
        <v>8</v>
      </c>
      <c r="O30">
        <v>2.6098913043478262</v>
      </c>
      <c r="P30">
        <v>2.578125</v>
      </c>
      <c r="Q30">
        <v>5.419354838709677</v>
      </c>
      <c r="R30">
        <v>1.8518518518518519</v>
      </c>
      <c r="S30">
        <v>10.75</v>
      </c>
      <c r="T30">
        <v>6</v>
      </c>
      <c r="U30">
        <v>2.9393939393939394</v>
      </c>
      <c r="V30">
        <v>2.2210526315789472</v>
      </c>
      <c r="W30">
        <v>4.5</v>
      </c>
      <c r="X30">
        <f t="shared" si="4"/>
        <v>4.9225980616274452</v>
      </c>
    </row>
    <row r="31" spans="1:28" x14ac:dyDescent="0.35">
      <c r="A31" t="s">
        <v>103</v>
      </c>
      <c r="D31">
        <v>5.5263157894736841</v>
      </c>
      <c r="E31">
        <v>3.4210526315789473</v>
      </c>
      <c r="F31">
        <v>12.111111111111111</v>
      </c>
      <c r="G31">
        <v>3.7</v>
      </c>
      <c r="H31">
        <v>4.3235294117647056</v>
      </c>
      <c r="I31">
        <v>3.8356164383561642</v>
      </c>
      <c r="J31">
        <v>2.0112359550561796</v>
      </c>
      <c r="K31">
        <v>11.35</v>
      </c>
      <c r="L31">
        <v>2.6111111111111112</v>
      </c>
      <c r="M31">
        <v>2.1764705882352939</v>
      </c>
      <c r="N31">
        <v>4.75</v>
      </c>
      <c r="O31">
        <v>2.9047619047619047</v>
      </c>
      <c r="P31">
        <v>3.935483870967742</v>
      </c>
      <c r="Q31">
        <v>3.1621621621621623</v>
      </c>
      <c r="R31">
        <v>2.7321428571428572</v>
      </c>
      <c r="S31">
        <v>7.9444444444444446</v>
      </c>
      <c r="T31">
        <v>2.8125</v>
      </c>
      <c r="U31">
        <v>4.365384615384615</v>
      </c>
      <c r="V31">
        <v>7.6875</v>
      </c>
      <c r="W31">
        <v>4.1500000000000004</v>
      </c>
      <c r="X31">
        <f t="shared" si="4"/>
        <v>4.7755411445775469</v>
      </c>
    </row>
    <row r="32" spans="1:28" x14ac:dyDescent="0.35">
      <c r="A32" t="s">
        <v>102</v>
      </c>
      <c r="D32">
        <v>4.1818181818181817</v>
      </c>
      <c r="E32">
        <v>4.8390804597701154</v>
      </c>
      <c r="F32">
        <v>4.3571428571428568</v>
      </c>
      <c r="G32">
        <v>3.4</v>
      </c>
      <c r="H32">
        <v>1.8125</v>
      </c>
      <c r="I32">
        <v>5.75</v>
      </c>
      <c r="J32">
        <v>4.3098591549295771</v>
      </c>
      <c r="K32">
        <v>4.1147540983606561</v>
      </c>
      <c r="L32">
        <v>2.8243243243243241</v>
      </c>
      <c r="M32">
        <v>1.9516129032258065</v>
      </c>
      <c r="N32">
        <v>2.3888888888888888</v>
      </c>
      <c r="O32">
        <v>6</v>
      </c>
      <c r="P32">
        <v>3.5842696630000002</v>
      </c>
      <c r="Q32">
        <v>2.4603174603174605</v>
      </c>
      <c r="R32">
        <v>3.2289156626506026</v>
      </c>
      <c r="S32">
        <v>9.2615384615384624</v>
      </c>
      <c r="T32">
        <v>2.5849056603773586</v>
      </c>
      <c r="U32">
        <v>3</v>
      </c>
      <c r="V32">
        <v>4.0909090909090908</v>
      </c>
      <c r="W32">
        <v>6.7297297297297298</v>
      </c>
      <c r="X32">
        <f t="shared" si="4"/>
        <v>4.0435283298491553</v>
      </c>
    </row>
    <row r="33" spans="1:24" x14ac:dyDescent="0.35">
      <c r="A33" t="s">
        <v>105</v>
      </c>
      <c r="D33">
        <v>8475</v>
      </c>
      <c r="E33">
        <v>2799.5</v>
      </c>
      <c r="F33">
        <v>1527</v>
      </c>
      <c r="G33">
        <v>1698.1111111111111</v>
      </c>
      <c r="H33">
        <v>1796.2857142857142</v>
      </c>
      <c r="I33">
        <v>1092.2</v>
      </c>
      <c r="J33">
        <v>2659</v>
      </c>
      <c r="K33">
        <v>2341</v>
      </c>
      <c r="L33">
        <v>6163.333333333333</v>
      </c>
      <c r="M33">
        <v>2381</v>
      </c>
      <c r="N33">
        <v>1467.7777777777778</v>
      </c>
      <c r="O33">
        <v>1127.6400000000001</v>
      </c>
      <c r="P33">
        <v>1722.3888888888889</v>
      </c>
      <c r="Q33">
        <v>2730.25</v>
      </c>
      <c r="R33">
        <v>2104.8333333333335</v>
      </c>
      <c r="S33">
        <v>3369.5</v>
      </c>
      <c r="T33">
        <v>1697.1666666666667</v>
      </c>
      <c r="U33">
        <v>2010.6</v>
      </c>
      <c r="V33">
        <v>2206.9411764705883</v>
      </c>
      <c r="W33">
        <v>3257.4545454545455</v>
      </c>
      <c r="X33">
        <f t="shared" si="4"/>
        <v>2631.3491273660975</v>
      </c>
    </row>
    <row r="34" spans="1:24" x14ac:dyDescent="0.35">
      <c r="A34" t="s">
        <v>111</v>
      </c>
      <c r="D34">
        <v>3527.75</v>
      </c>
      <c r="E34">
        <v>1426.4166666666667</v>
      </c>
      <c r="F34">
        <v>1851.75</v>
      </c>
      <c r="G34">
        <v>1177.25</v>
      </c>
      <c r="H34">
        <v>1446.35</v>
      </c>
      <c r="I34">
        <v>2920.95</v>
      </c>
      <c r="J34">
        <v>846.609375</v>
      </c>
      <c r="K34">
        <v>2798.25</v>
      </c>
      <c r="L34">
        <v>3746.5</v>
      </c>
      <c r="M34">
        <v>1517.75</v>
      </c>
      <c r="N34">
        <v>1781</v>
      </c>
      <c r="O34">
        <v>770.40913043478258</v>
      </c>
      <c r="P34">
        <v>1020.6875</v>
      </c>
      <c r="Q34">
        <v>1648.0645161290322</v>
      </c>
      <c r="R34">
        <v>600.61111111111109</v>
      </c>
      <c r="S34">
        <v>3167.75</v>
      </c>
      <c r="T34">
        <v>1839.5</v>
      </c>
      <c r="U34">
        <v>1129</v>
      </c>
      <c r="V34">
        <v>850.53684210526319</v>
      </c>
      <c r="W34">
        <v>2108.75</v>
      </c>
      <c r="X34">
        <f t="shared" si="4"/>
        <v>1808.7942570723426</v>
      </c>
    </row>
    <row r="35" spans="1:24" x14ac:dyDescent="0.35">
      <c r="A35" t="s">
        <v>112</v>
      </c>
      <c r="D35">
        <v>1519.8947368421052</v>
      </c>
      <c r="E35">
        <v>903.08771929824559</v>
      </c>
      <c r="F35">
        <v>1593.6111111111111</v>
      </c>
      <c r="G35">
        <v>873.55</v>
      </c>
      <c r="H35">
        <v>881.05882352941171</v>
      </c>
      <c r="I35">
        <v>662.34246575342468</v>
      </c>
      <c r="J35">
        <v>700.56179775280896</v>
      </c>
      <c r="K35">
        <v>3235.95</v>
      </c>
      <c r="L35">
        <v>741.94444444444446</v>
      </c>
      <c r="M35">
        <v>641.11764705882354</v>
      </c>
      <c r="N35">
        <v>586.875</v>
      </c>
      <c r="O35">
        <v>511.60714285714283</v>
      </c>
      <c r="P35">
        <v>1028.2903225806451</v>
      </c>
      <c r="Q35">
        <v>573.68918918918916</v>
      </c>
      <c r="R35">
        <v>631.73214285714289</v>
      </c>
      <c r="S35">
        <v>1205.4444444444443</v>
      </c>
      <c r="T35">
        <v>633.0625</v>
      </c>
      <c r="U35">
        <v>876.82692307692309</v>
      </c>
      <c r="V35">
        <v>2399.4375</v>
      </c>
      <c r="W35">
        <v>979.7</v>
      </c>
      <c r="X35">
        <f t="shared" si="4"/>
        <v>1058.9891955397929</v>
      </c>
    </row>
    <row r="36" spans="1:24" x14ac:dyDescent="0.35">
      <c r="A36" t="s">
        <v>110</v>
      </c>
      <c r="D36">
        <v>456.76136363636363</v>
      </c>
      <c r="E36">
        <v>660.27586206896547</v>
      </c>
      <c r="F36">
        <v>339.59523809523807</v>
      </c>
      <c r="G36">
        <v>564.4</v>
      </c>
      <c r="H36">
        <v>225.8125</v>
      </c>
      <c r="I36">
        <v>517.64583333333337</v>
      </c>
      <c r="J36">
        <v>541.74647887323943</v>
      </c>
      <c r="K36">
        <v>517.91803278688519</v>
      </c>
      <c r="L36">
        <v>430.14864864864865</v>
      </c>
      <c r="M36">
        <v>362.17741935483872</v>
      </c>
      <c r="N36">
        <v>260.25925925925924</v>
      </c>
      <c r="O36">
        <v>666.77380952380952</v>
      </c>
      <c r="P36">
        <v>598.93258430000003</v>
      </c>
      <c r="Q36">
        <v>360.07936507936506</v>
      </c>
      <c r="R36">
        <v>490.68674698795184</v>
      </c>
      <c r="S36">
        <v>1058.5538461538461</v>
      </c>
      <c r="T36">
        <v>381.41509433962267</v>
      </c>
      <c r="U36">
        <v>316.3170731707317</v>
      </c>
      <c r="V36">
        <v>661.5454545454545</v>
      </c>
      <c r="W36">
        <v>912.82432432432438</v>
      </c>
      <c r="X36">
        <f t="shared" si="4"/>
        <v>516.19344672409386</v>
      </c>
    </row>
    <row r="37" spans="1:24" x14ac:dyDescent="0.35">
      <c r="A37" t="s">
        <v>99</v>
      </c>
      <c r="D37">
        <v>14</v>
      </c>
      <c r="E37">
        <v>3.625</v>
      </c>
      <c r="F37">
        <v>3</v>
      </c>
      <c r="G37">
        <v>2.7777777777777777</v>
      </c>
      <c r="H37">
        <v>3.1428571428571428</v>
      </c>
      <c r="I37">
        <v>2.3333333333333335</v>
      </c>
      <c r="J37">
        <v>4.1875</v>
      </c>
      <c r="K37">
        <v>5.4545454545454541</v>
      </c>
      <c r="L37">
        <v>10.666666666666666</v>
      </c>
      <c r="M37">
        <v>4.75</v>
      </c>
      <c r="N37">
        <v>1.4444444444444444</v>
      </c>
      <c r="O37">
        <v>1.81</v>
      </c>
      <c r="P37">
        <v>2.7222222222222223</v>
      </c>
      <c r="Q37">
        <v>5.75</v>
      </c>
      <c r="R37">
        <v>3.6666666666666665</v>
      </c>
      <c r="S37">
        <v>4.5</v>
      </c>
      <c r="T37">
        <v>2.1</v>
      </c>
      <c r="U37">
        <v>2.8</v>
      </c>
      <c r="V37">
        <v>5</v>
      </c>
      <c r="W37">
        <v>4.2727272727272725</v>
      </c>
      <c r="X37">
        <f t="shared" si="4"/>
        <v>4.4001870490620485</v>
      </c>
    </row>
    <row r="38" spans="1:24" x14ac:dyDescent="0.35">
      <c r="A38" t="s">
        <v>97</v>
      </c>
      <c r="D38">
        <v>5.375</v>
      </c>
      <c r="E38">
        <v>2.8333333333333335</v>
      </c>
      <c r="F38">
        <v>3</v>
      </c>
      <c r="G38">
        <v>2.25</v>
      </c>
      <c r="H38">
        <v>3.1</v>
      </c>
      <c r="I38">
        <v>5.15</v>
      </c>
      <c r="J38">
        <v>1.734375</v>
      </c>
      <c r="K38">
        <v>5.5</v>
      </c>
      <c r="L38">
        <v>7.5</v>
      </c>
      <c r="M38">
        <v>2.25</v>
      </c>
      <c r="N38">
        <v>3.25</v>
      </c>
      <c r="O38">
        <v>1.2805434782608696</v>
      </c>
      <c r="P38">
        <v>2</v>
      </c>
      <c r="Q38">
        <v>3.7419354838709675</v>
      </c>
      <c r="R38">
        <v>1.1111111111111112</v>
      </c>
      <c r="S38">
        <v>4.5</v>
      </c>
      <c r="T38">
        <v>3.5</v>
      </c>
      <c r="U38">
        <v>2.4646464646464645</v>
      </c>
      <c r="V38">
        <v>1.8631578947368421</v>
      </c>
      <c r="W38">
        <v>3.75</v>
      </c>
      <c r="X38">
        <f t="shared" si="4"/>
        <v>3.3077051382979796</v>
      </c>
    </row>
    <row r="39" spans="1:24" x14ac:dyDescent="0.35">
      <c r="A39" t="s">
        <v>95</v>
      </c>
      <c r="D39">
        <v>2.3684210526315788</v>
      </c>
      <c r="E39">
        <v>1.7017543859649122</v>
      </c>
      <c r="F39">
        <v>2.8888888888888888</v>
      </c>
      <c r="G39">
        <v>1.65</v>
      </c>
      <c r="H39">
        <v>1.8529411764705883</v>
      </c>
      <c r="I39">
        <v>1.4246575342465753</v>
      </c>
      <c r="J39">
        <v>1.3146067415730338</v>
      </c>
      <c r="K39">
        <v>6.4</v>
      </c>
      <c r="L39">
        <v>1.5555555555555556</v>
      </c>
      <c r="M39">
        <v>1.3529411764705883</v>
      </c>
      <c r="N39">
        <v>1</v>
      </c>
      <c r="O39">
        <v>0.79761904761904767</v>
      </c>
      <c r="P39">
        <v>1.903225806451613</v>
      </c>
      <c r="Q39">
        <v>1.1756756756756757</v>
      </c>
      <c r="R39">
        <v>1.25</v>
      </c>
      <c r="S39">
        <v>2.6111111111111112</v>
      </c>
      <c r="T39">
        <v>1.34375</v>
      </c>
      <c r="U39">
        <v>1.5576923076923077</v>
      </c>
      <c r="V39">
        <v>4.4375</v>
      </c>
      <c r="W39">
        <v>1.85</v>
      </c>
      <c r="X39">
        <f t="shared" si="4"/>
        <v>2.021817023017574</v>
      </c>
    </row>
    <row r="40" spans="1:24" x14ac:dyDescent="0.35">
      <c r="A40" t="s">
        <v>93</v>
      </c>
      <c r="D40">
        <v>0.64772727272727271</v>
      </c>
      <c r="E40">
        <v>1.1839080459770115</v>
      </c>
      <c r="F40">
        <v>0.61904761904761907</v>
      </c>
      <c r="G40">
        <v>0.73333333333333328</v>
      </c>
      <c r="H40">
        <v>0.5625</v>
      </c>
      <c r="I40">
        <v>0.80208333333333337</v>
      </c>
      <c r="J40">
        <v>1.2535211267605635</v>
      </c>
      <c r="K40">
        <v>1.0491803278688525</v>
      </c>
      <c r="L40">
        <v>0.97297297297297303</v>
      </c>
      <c r="M40">
        <v>0.74193548387096775</v>
      </c>
      <c r="N40">
        <v>0.44444444444444442</v>
      </c>
      <c r="O40">
        <v>0.94047619047619047</v>
      </c>
      <c r="P40">
        <v>1.292134831</v>
      </c>
      <c r="Q40">
        <v>0.65079365079365081</v>
      </c>
      <c r="R40">
        <v>1</v>
      </c>
      <c r="S40">
        <v>2.0153846153846153</v>
      </c>
      <c r="T40">
        <v>0.81132075471698117</v>
      </c>
      <c r="U40">
        <v>0.34146341463414637</v>
      </c>
      <c r="V40">
        <v>1.2987012987012987</v>
      </c>
      <c r="W40">
        <v>1.5675675675675675</v>
      </c>
      <c r="X40">
        <f t="shared" si="4"/>
        <v>0.94642481418054114</v>
      </c>
    </row>
    <row r="41" spans="1:24" x14ac:dyDescent="0.35">
      <c r="A41" t="s">
        <v>107</v>
      </c>
      <c r="D41">
        <v>6302</v>
      </c>
      <c r="E41">
        <v>2466.25</v>
      </c>
      <c r="F41">
        <v>737.66666666666663</v>
      </c>
      <c r="G41">
        <v>1463.7777777777801</v>
      </c>
      <c r="H41">
        <v>1463.2857142857142</v>
      </c>
      <c r="I41">
        <v>856.33333333333337</v>
      </c>
      <c r="J41">
        <v>2428.875</v>
      </c>
      <c r="K41">
        <v>1869.090909090909</v>
      </c>
      <c r="L41">
        <v>5051.666666666667</v>
      </c>
      <c r="M41">
        <v>1844.25</v>
      </c>
      <c r="N41">
        <v>1309.3333333333333</v>
      </c>
      <c r="O41">
        <v>701.14</v>
      </c>
      <c r="P41">
        <v>1545</v>
      </c>
      <c r="Q41">
        <v>2209.25</v>
      </c>
      <c r="R41">
        <v>1617.1666666666667</v>
      </c>
      <c r="S41">
        <v>2527.1666666666665</v>
      </c>
      <c r="T41">
        <v>1564.5</v>
      </c>
      <c r="U41">
        <v>1566.8</v>
      </c>
      <c r="V41">
        <v>1841</v>
      </c>
      <c r="W41">
        <v>2683.4545454545455</v>
      </c>
      <c r="X41">
        <f t="shared" si="4"/>
        <v>2102.4003639971143</v>
      </c>
    </row>
    <row r="42" spans="1:24" x14ac:dyDescent="0.35">
      <c r="A42" t="s">
        <v>106</v>
      </c>
      <c r="D42">
        <v>2807.375</v>
      </c>
      <c r="E42">
        <v>1195.1666666666667</v>
      </c>
      <c r="F42">
        <v>681</v>
      </c>
      <c r="G42">
        <v>835.25</v>
      </c>
      <c r="H42">
        <v>1131.6500000000001</v>
      </c>
      <c r="I42">
        <v>2074.15</v>
      </c>
      <c r="J42">
        <v>693.453125</v>
      </c>
      <c r="K42">
        <v>2265</v>
      </c>
      <c r="L42">
        <v>2834.75</v>
      </c>
      <c r="M42">
        <v>1213.5</v>
      </c>
      <c r="N42">
        <v>1272.5</v>
      </c>
      <c r="O42">
        <v>404.46891304347827</v>
      </c>
      <c r="P42">
        <v>821.078125</v>
      </c>
      <c r="Q42">
        <v>1247.1612903225807</v>
      </c>
      <c r="R42">
        <v>446.01851851851853</v>
      </c>
      <c r="S42">
        <v>2081.75</v>
      </c>
      <c r="T42">
        <v>1174.25</v>
      </c>
      <c r="U42">
        <v>869.969696969697</v>
      </c>
      <c r="V42">
        <v>682.70526315789471</v>
      </c>
      <c r="W42">
        <v>1587.5</v>
      </c>
      <c r="X42">
        <f t="shared" si="4"/>
        <v>1315.9348299339417</v>
      </c>
    </row>
    <row r="43" spans="1:24" x14ac:dyDescent="0.35">
      <c r="A43" t="s">
        <v>108</v>
      </c>
      <c r="D43">
        <v>1146.1052631578948</v>
      </c>
      <c r="E43">
        <v>714.70175438596493</v>
      </c>
      <c r="F43">
        <v>834.11111111111109</v>
      </c>
      <c r="G43">
        <v>645.20000000000005</v>
      </c>
      <c r="H43">
        <v>613.17647058823525</v>
      </c>
      <c r="I43">
        <v>453.84931506849313</v>
      </c>
      <c r="J43">
        <v>604.58426966292132</v>
      </c>
      <c r="K43">
        <v>2586.4499999999998</v>
      </c>
      <c r="L43">
        <v>628.72222222222217</v>
      </c>
      <c r="M43">
        <v>516.88235294117646</v>
      </c>
      <c r="N43">
        <v>289.5</v>
      </c>
      <c r="O43">
        <v>194.4047619047619</v>
      </c>
      <c r="P43">
        <v>801.83870967741939</v>
      </c>
      <c r="Q43">
        <v>384.56756756756755</v>
      </c>
      <c r="R43">
        <v>494.92857142857144</v>
      </c>
      <c r="S43">
        <v>801.66666666666663</v>
      </c>
      <c r="T43">
        <v>503.75</v>
      </c>
      <c r="U43">
        <v>548.05769230769226</v>
      </c>
      <c r="V43">
        <v>1947.875</v>
      </c>
      <c r="W43">
        <v>687.45</v>
      </c>
      <c r="X43">
        <f t="shared" si="4"/>
        <v>769.89108643453483</v>
      </c>
    </row>
    <row r="44" spans="1:24" x14ac:dyDescent="0.35">
      <c r="A44" t="s">
        <v>109</v>
      </c>
      <c r="D44">
        <v>172.64772727272728</v>
      </c>
      <c r="E44">
        <v>440.80459770114942</v>
      </c>
      <c r="F44">
        <v>181.16666666666666</v>
      </c>
      <c r="G44">
        <v>388.53333333333336</v>
      </c>
      <c r="H44">
        <v>153.21875</v>
      </c>
      <c r="I44">
        <v>228.5</v>
      </c>
      <c r="J44">
        <v>354.74647887323943</v>
      </c>
      <c r="K44">
        <v>353.50819672131149</v>
      </c>
      <c r="L44">
        <v>299.18918918918916</v>
      </c>
      <c r="M44">
        <v>267.56451612903226</v>
      </c>
      <c r="N44">
        <v>142.31481481481481</v>
      </c>
      <c r="O44">
        <v>253.75</v>
      </c>
      <c r="P44">
        <v>461.84269660000001</v>
      </c>
      <c r="Q44">
        <v>227.14285714285714</v>
      </c>
      <c r="R44">
        <v>332.22891566265059</v>
      </c>
      <c r="S44">
        <v>680.81538461538457</v>
      </c>
      <c r="T44">
        <v>270.52830188679246</v>
      </c>
      <c r="U44">
        <v>118.19512195121951</v>
      </c>
      <c r="V44">
        <v>488.25974025974028</v>
      </c>
      <c r="W44">
        <v>628.08108108108104</v>
      </c>
      <c r="X44">
        <f t="shared" si="4"/>
        <v>322.15191849505948</v>
      </c>
    </row>
    <row r="45" spans="1:24" x14ac:dyDescent="0.35">
      <c r="A45" t="s">
        <v>92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Kiano Sadric</dc:creator>
  <cp:lastModifiedBy>Kiano Sadric</cp:lastModifiedBy>
  <dcterms:created xsi:type="dcterms:W3CDTF">2026-01-25T13:52:27Z</dcterms:created>
  <dcterms:modified xsi:type="dcterms:W3CDTF">2026-01-31T14:21:44Z</dcterms:modified>
</cp:coreProperties>
</file>